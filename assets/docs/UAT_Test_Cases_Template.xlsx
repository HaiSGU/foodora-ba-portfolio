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BA Project\foodora-ba-portfolio\assets\docs\"/>
    </mc:Choice>
  </mc:AlternateContent>
  <xr:revisionPtr revIDLastSave="0" documentId="13_ncr:1_{1AEAD29A-4615-48BA-BECA-7E82078BD8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D5" i="1"/>
  <c r="C5" i="1"/>
  <c r="B5" i="1"/>
  <c r="A5" i="1"/>
</calcChain>
</file>

<file path=xl/sharedStrings.xml><?xml version="1.0" encoding="utf-8"?>
<sst xmlns="http://schemas.openxmlformats.org/spreadsheetml/2006/main" count="120" uniqueCount="89">
  <si>
    <t>Module Code</t>
  </si>
  <si>
    <t>FOODORA_PICKUP_MVP</t>
  </si>
  <si>
    <t>Test requirement</t>
  </si>
  <si>
    <t>UAT for customer pickup ordering + cashier processing (pay-at-counter), including slot rules and status lifecycle.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</si>
  <si>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</si>
  <si>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</si>
  <si>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</si>
  <si>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</si>
  <si>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</si>
  <si>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</si>
  <si>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</si>
  <si>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</si>
  <si>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</si>
  <si>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</si>
  <si>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</si>
  <si>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</si>
  <si>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</si>
  <si>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</si>
  <si>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Function A — Customer: Browse &amp; Cart</t>
  </si>
  <si>
    <t>[M1-01]</t>
  </si>
  <si>
    <t>Browse menu and open item detail</t>
  </si>
  <si>
    <t>1. Open Customer app
2. Browse categories
3. Open an item detail</t>
  </si>
  <si>
    <t>Menu loads successfully; item detail shows name/price/availability.</t>
  </si>
  <si>
    <t>[M1-02]</t>
  </si>
  <si>
    <t>Add item to cart and update quantity</t>
  </si>
  <si>
    <t>1. From item detail tap Add to cart
2. Open Cart
3. Increase quantity
4. Decrease quantity</t>
  </si>
  <si>
    <t>Cart updates quantity and line total correctly; subtotal recalculates.</t>
  </si>
  <si>
    <t>[M1-03]</t>
  </si>
  <si>
    <t>Remove item from cart</t>
  </si>
  <si>
    <t>1. In Cart remove an item
2. Confirm removal if prompted</t>
  </si>
  <si>
    <t>Item removed; totals updated; empty cart state shown when no items.</t>
  </si>
  <si>
    <t>Function B — Customer: Pickup Slot Selection</t>
  </si>
  <si>
    <t>[M2-01]</t>
  </si>
  <si>
    <t>View only valid future pickup slots</t>
  </si>
  <si>
    <t>1. Go to Checkout
2. Open pickup slot list</t>
  </si>
  <si>
    <t>Past slots not shown; only within business hours; slots display time range.</t>
  </si>
  <si>
    <t>[M2-02]</t>
  </si>
  <si>
    <t>Select a pickup slot</t>
  </si>
  <si>
    <t>1. Select a future slot
2. Continue to Checkout</t>
  </si>
  <si>
    <t>Selected slot is stored and shown on checkout summary.</t>
  </si>
  <si>
    <t>[M2-03]</t>
  </si>
  <si>
    <t>Slot becomes full/unavailable</t>
  </si>
  <si>
    <t>1. Attempt to select a full slot (or simulate capacity reached)
2. Try to proceed</t>
  </si>
  <si>
    <t>System blocks selection or prevents placement; user prompted to choose another slot.</t>
  </si>
  <si>
    <t>Function C — Customer: Place Order</t>
  </si>
  <si>
    <t>[M3-01]</t>
  </si>
  <si>
    <t>Place pickup order (pay at counter)</t>
  </si>
  <si>
    <t>1. Confirm Pay-at-counter message
2. Provide required fields (phone/name if required)
3. Tap Place order</t>
  </si>
  <si>
    <t>Order created with status PLACED; confirmation shows Order ID, pickup time, pay-at-counter.</t>
  </si>
  <si>
    <t>[M3-02]</t>
  </si>
  <si>
    <t>Prevent placing order if cart item becomes unavailable</t>
  </si>
  <si>
    <t>1. Add item to cart
2. Mark item unavailable (simulate)
3. Try Place order</t>
  </si>
  <si>
    <t>Submission blocked or cart updated; clear error shown; no invalid order created.</t>
  </si>
  <si>
    <t>Function D — Customer: Tracking &amp; Cancellation</t>
  </si>
  <si>
    <t>[M4-01]</t>
  </si>
  <si>
    <t>Track order status changes</t>
  </si>
  <si>
    <t>1. Open Order Tracking
2. Observe status timeline</t>
  </si>
  <si>
    <t>Timeline shows current status and last updated; matches cashier updates.</t>
  </si>
  <si>
    <t>[M4-02]</t>
  </si>
  <si>
    <t>Customer can cancel only when status = PLACED</t>
  </si>
  <si>
    <t>1. While status is PLACED tap Cancel
2. Confirm</t>
  </si>
  <si>
    <t>Order becomes CANCELLED; cancel reason captured if required; status shown to customer.</t>
  </si>
  <si>
    <t>[M4-03]</t>
  </si>
  <si>
    <t>Customer cannot cancel after CONFIRMED</t>
  </si>
  <si>
    <t>1. After cashier confirms, open tracking
2. Verify cancel control</t>
  </si>
  <si>
    <t>Cancel hidden/disabled with message: allowed only at PLACED.</t>
  </si>
  <si>
    <t>[C1-01]</t>
  </si>
  <si>
    <t>Function E — Cashier: Confirm/Reject</t>
  </si>
  <si>
    <t>Cashier confirms order</t>
  </si>
  <si>
    <t>1. Login cashier
2. Open Placed orders
3. Open order detail
4. Confirm</t>
  </si>
  <si>
    <t>Order status becomes CONFIRMED; customer sees update; status history recorded.</t>
  </si>
  <si>
    <t>[C1-02]</t>
  </si>
  <si>
    <t>Cashier rejects order with mandatory reason</t>
  </si>
  <si>
    <t>1. Open a PLACED order
2. Tap Reject
3. Submit without reason
4. Then submit with a reason</t>
  </si>
  <si>
    <t>System requires reason; after reason provided, order CANCELLED by RESTAURANT and reason shown to customer.</t>
  </si>
  <si>
    <t>Function F — Cashier: Status Updates &amp; Payment</t>
  </si>
  <si>
    <t>[C2-01]</t>
  </si>
  <si>
    <t>Update status in correct sequence (CONFIRMED → PREPARING → READY)</t>
  </si>
  <si>
    <t>1. Open CONFIRMED order
2. Set PREPARING
3. Set READY</t>
  </si>
  <si>
    <t>Transitions succeed; timestamps captured; customer sees PREPARING then READY.</t>
  </si>
  <si>
    <t>[C2-02]</t>
  </si>
  <si>
    <t>Prevent invalid status transition (e.g., READY → PREPARING)</t>
  </si>
  <si>
    <t>1. Open a READY order
2. Attempt to set status back to PREPARING</t>
  </si>
  <si>
    <t>System blocks invalid transition with clear message; audit unchanged.</t>
  </si>
  <si>
    <t>[C2-03]</t>
  </si>
  <si>
    <t>Complete order after pickup and record pay-at-counter payment</t>
  </si>
  <si>
    <t>1. For READY order, record payment at counter
2. Mark COMPLETED</t>
  </si>
  <si>
    <t>Order becomes COMPLETED; payment recorded (PAID) with cashier user (if modeled).</t>
  </si>
  <si>
    <t>Nguyễn Nhật 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</si>
</sst>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F1FF"/>
      </patternFill>
    </fill>
    <fill>
      <patternFill patternType="solid">
        <fgColor rgb="FF1F4E79"/>
      </patternFill>
    </fill>
    <fill>
      <patternFill patternType="solid">
        <fgColor rgb="FFD9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tabSelected="1" workbookViewId="0">
      <pane ySplit="7" topLeftCell="A8" activePane="bottomLeft" state="frozen"/>
      <selection pane="bottomLeft" activeCell="C4" sqref="C4"/>
    </sheetView>
  </sheetViews>
  <sheetFormatPr defaultRowHeight="14.4" x14ac:dyDescent="0.3"/>
  <cols>
    <col min="1" max="1" width="16" customWidth="1"/>
    <col min="2" max="2" width="34" customWidth="1"/>
    <col min="3" max="3" width="46" customWidth="1"/>
    <col min="4" max="4" width="44" customWidth="1"/>
    <col min="5" max="5" width="26" customWidth="1"/>
    <col min="6" max="6" width="12" customWidth="1"/>
    <col min="7" max="7" width="14" customWidth="1"/>
    <col min="8" max="8" width="26" customWidth="1"/>
  </cols>
  <sheetData>
    <row r="1" spans="1:8" x14ac:dyDescent="0.3">
      <c r="A1" s="9" t="s">
        <v>0</v>
      </c>
      <c r="B1" s="9"/>
      <c r="C1" s="1" t="s">
        <v>1</v>
      </c>
      <c r="D1" s="1"/>
      <c r="E1" s="1"/>
      <c r="F1" s="1"/>
      <c r="G1" s="1"/>
      <c r="H1" s="1"/>
    </row>
    <row r="2" spans="1:8" x14ac:dyDescent="0.3">
      <c r="A2" s="7" t="s">
        <v>2</v>
      </c>
      <c r="B2" s="7"/>
      <c r="C2" s="6" t="s">
        <v>3</v>
      </c>
      <c r="D2" s="6"/>
      <c r="E2" s="6"/>
      <c r="F2" s="6"/>
      <c r="G2" s="6"/>
      <c r="H2" s="6"/>
    </row>
    <row r="3" spans="1:8" x14ac:dyDescent="0.3">
      <c r="A3" s="9" t="s">
        <v>4</v>
      </c>
      <c r="B3" s="9"/>
      <c r="C3" s="10" t="s">
        <v>88</v>
      </c>
      <c r="D3" s="10"/>
      <c r="E3" s="10"/>
      <c r="F3" s="10"/>
      <c r="G3" s="10"/>
      <c r="H3" s="10"/>
    </row>
    <row r="4" spans="1:8" x14ac:dyDescent="0.3">
      <c r="A4" s="2" t="s">
        <v>5</v>
      </c>
      <c r="B4" s="2" t="s">
        <v>6</v>
      </c>
      <c r="C4" s="2" t="s">
        <v>7</v>
      </c>
      <c r="D4" s="2" t="s">
        <v>8</v>
      </c>
      <c r="E4" s="8" t="s">
        <v>9</v>
      </c>
      <c r="F4" s="8"/>
      <c r="G4" s="8"/>
      <c r="H4" s="8"/>
    </row>
    <row r="5" spans="1:8" x14ac:dyDescent="0.3">
      <c r="A5" s="1">
        <f>COUNTIF(F8:F29,"Pass")</f>
        <v>0</v>
      </c>
      <c r="B5" s="1">
        <f>COUNTIF(F8:F29,"Fail")</f>
        <v>0</v>
      </c>
      <c r="C5" s="1">
        <f>COUNTIF(F8:F29,"Untested")</f>
        <v>16</v>
      </c>
      <c r="D5" s="1">
        <f>COUNTIF(F8:F29,"N/A")</f>
        <v>0</v>
      </c>
      <c r="E5" s="1">
        <f>COUNTA(A8:A29)</f>
        <v>22</v>
      </c>
      <c r="F5" s="1"/>
      <c r="G5" s="1"/>
      <c r="H5" s="1"/>
    </row>
    <row r="7" spans="1:8" ht="24" customHeight="1" x14ac:dyDescent="0.3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</row>
    <row r="8" spans="1:8" ht="19.95" customHeight="1" x14ac:dyDescent="0.3">
      <c r="A8" s="4" t="s">
        <v>18</v>
      </c>
      <c r="B8" s="5"/>
      <c r="C8" s="5"/>
      <c r="D8" s="5"/>
      <c r="E8" s="5"/>
      <c r="F8" s="5"/>
      <c r="G8" s="5"/>
      <c r="H8" s="5"/>
    </row>
    <row r="9" spans="1:8" ht="78" customHeight="1" x14ac:dyDescent="0.3">
      <c r="A9" s="1" t="s">
        <v>19</v>
      </c>
      <c r="B9" s="1" t="s">
        <v>20</v>
      </c>
      <c r="C9" s="1" t="s">
        <v>21</v>
      </c>
      <c r="D9" s="1" t="s">
        <v>22</v>
      </c>
      <c r="E9" s="1"/>
      <c r="F9" s="1" t="s">
        <v>7</v>
      </c>
      <c r="G9" s="1"/>
      <c r="H9" s="1"/>
    </row>
    <row r="10" spans="1:8" ht="78" customHeight="1" x14ac:dyDescent="0.3">
      <c r="A10" s="1" t="s">
        <v>23</v>
      </c>
      <c r="B10" s="1" t="s">
        <v>24</v>
      </c>
      <c r="C10" s="1" t="s">
        <v>25</v>
      </c>
      <c r="D10" s="1" t="s">
        <v>26</v>
      </c>
      <c r="E10" s="1" t="s">
        <v>19</v>
      </c>
      <c r="F10" s="1" t="s">
        <v>7</v>
      </c>
      <c r="G10" s="1"/>
      <c r="H10" s="1"/>
    </row>
    <row r="11" spans="1:8" ht="78" customHeight="1" x14ac:dyDescent="0.3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23</v>
      </c>
      <c r="F11" s="1" t="s">
        <v>7</v>
      </c>
      <c r="G11" s="1"/>
      <c r="H11" s="1"/>
    </row>
    <row r="12" spans="1:8" ht="19.95" customHeight="1" x14ac:dyDescent="0.3">
      <c r="A12" s="4" t="s">
        <v>31</v>
      </c>
      <c r="B12" s="5"/>
      <c r="C12" s="5"/>
      <c r="D12" s="5"/>
      <c r="E12" s="5"/>
      <c r="F12" s="5"/>
      <c r="G12" s="5"/>
      <c r="H12" s="5"/>
    </row>
    <row r="13" spans="1:8" ht="78" customHeight="1" x14ac:dyDescent="0.3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23</v>
      </c>
      <c r="F13" s="1" t="s">
        <v>7</v>
      </c>
      <c r="G13" s="1"/>
      <c r="H13" s="1"/>
    </row>
    <row r="14" spans="1:8" ht="78" customHeight="1" x14ac:dyDescent="0.3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32</v>
      </c>
      <c r="F14" s="1" t="s">
        <v>7</v>
      </c>
      <c r="G14" s="1"/>
      <c r="H14" s="1"/>
    </row>
    <row r="15" spans="1:8" ht="78" customHeight="1" x14ac:dyDescent="0.3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32</v>
      </c>
      <c r="F15" s="1" t="s">
        <v>7</v>
      </c>
      <c r="G15" s="1"/>
      <c r="H15" s="1"/>
    </row>
    <row r="16" spans="1:8" ht="19.95" customHeight="1" x14ac:dyDescent="0.3">
      <c r="A16" s="4" t="s">
        <v>44</v>
      </c>
      <c r="B16" s="5"/>
      <c r="C16" s="5"/>
      <c r="D16" s="5"/>
      <c r="E16" s="5"/>
      <c r="F16" s="5"/>
      <c r="G16" s="5"/>
      <c r="H16" s="5"/>
    </row>
    <row r="17" spans="1:8" ht="78" customHeight="1" x14ac:dyDescent="0.3">
      <c r="A17" s="1" t="s">
        <v>45</v>
      </c>
      <c r="B17" s="1" t="s">
        <v>46</v>
      </c>
      <c r="C17" s="1" t="s">
        <v>47</v>
      </c>
      <c r="D17" s="1" t="s">
        <v>48</v>
      </c>
      <c r="E17" s="1" t="s">
        <v>36</v>
      </c>
      <c r="F17" s="1" t="s">
        <v>7</v>
      </c>
      <c r="G17" s="1"/>
      <c r="H17" s="1"/>
    </row>
    <row r="18" spans="1:8" ht="78" customHeight="1" x14ac:dyDescent="0.3">
      <c r="A18" s="1" t="s">
        <v>49</v>
      </c>
      <c r="B18" s="1" t="s">
        <v>50</v>
      </c>
      <c r="C18" s="1" t="s">
        <v>51</v>
      </c>
      <c r="D18" s="1" t="s">
        <v>52</v>
      </c>
      <c r="E18" s="1" t="s">
        <v>23</v>
      </c>
      <c r="F18" s="1" t="s">
        <v>7</v>
      </c>
      <c r="G18" s="1"/>
      <c r="H18" s="1"/>
    </row>
    <row r="19" spans="1:8" ht="19.95" customHeight="1" x14ac:dyDescent="0.3">
      <c r="A19" s="4" t="s">
        <v>53</v>
      </c>
      <c r="B19" s="5"/>
      <c r="C19" s="5"/>
      <c r="D19" s="5"/>
      <c r="E19" s="5"/>
      <c r="F19" s="5"/>
      <c r="G19" s="5"/>
      <c r="H19" s="5"/>
    </row>
    <row r="20" spans="1:8" ht="78" customHeight="1" x14ac:dyDescent="0.3">
      <c r="A20" s="1" t="s">
        <v>54</v>
      </c>
      <c r="B20" s="1" t="s">
        <v>55</v>
      </c>
      <c r="C20" s="1" t="s">
        <v>56</v>
      </c>
      <c r="D20" s="1" t="s">
        <v>57</v>
      </c>
      <c r="E20" s="1" t="s">
        <v>45</v>
      </c>
      <c r="F20" s="1" t="s">
        <v>7</v>
      </c>
      <c r="G20" s="1"/>
      <c r="H20" s="1"/>
    </row>
    <row r="21" spans="1:8" ht="78" customHeight="1" x14ac:dyDescent="0.3">
      <c r="A21" s="1" t="s">
        <v>58</v>
      </c>
      <c r="B21" s="1" t="s">
        <v>59</v>
      </c>
      <c r="C21" s="1" t="s">
        <v>60</v>
      </c>
      <c r="D21" s="1" t="s">
        <v>61</v>
      </c>
      <c r="E21" s="1" t="s">
        <v>45</v>
      </c>
      <c r="F21" s="1" t="s">
        <v>7</v>
      </c>
      <c r="G21" s="1"/>
      <c r="H21" s="1"/>
    </row>
    <row r="22" spans="1:8" ht="78" customHeight="1" x14ac:dyDescent="0.3">
      <c r="A22" s="1" t="s">
        <v>62</v>
      </c>
      <c r="B22" s="1" t="s">
        <v>63</v>
      </c>
      <c r="C22" s="1" t="s">
        <v>64</v>
      </c>
      <c r="D22" s="1" t="s">
        <v>65</v>
      </c>
      <c r="E22" s="1" t="s">
        <v>66</v>
      </c>
      <c r="F22" s="1" t="s">
        <v>7</v>
      </c>
      <c r="G22" s="1"/>
      <c r="H22" s="1"/>
    </row>
    <row r="23" spans="1:8" ht="19.95" customHeight="1" x14ac:dyDescent="0.3">
      <c r="A23" s="4" t="s">
        <v>67</v>
      </c>
      <c r="B23" s="5"/>
      <c r="C23" s="5"/>
      <c r="D23" s="5"/>
      <c r="E23" s="5"/>
      <c r="F23" s="5"/>
      <c r="G23" s="5"/>
      <c r="H23" s="5"/>
    </row>
    <row r="24" spans="1:8" ht="78" customHeight="1" x14ac:dyDescent="0.3">
      <c r="A24" s="1" t="s">
        <v>66</v>
      </c>
      <c r="B24" s="1" t="s">
        <v>68</v>
      </c>
      <c r="C24" s="1" t="s">
        <v>69</v>
      </c>
      <c r="D24" s="1" t="s">
        <v>70</v>
      </c>
      <c r="E24" s="1" t="s">
        <v>45</v>
      </c>
      <c r="F24" s="1" t="s">
        <v>7</v>
      </c>
      <c r="G24" s="1"/>
      <c r="H24" s="1"/>
    </row>
    <row r="25" spans="1:8" ht="78" customHeight="1" x14ac:dyDescent="0.3">
      <c r="A25" s="1" t="s">
        <v>71</v>
      </c>
      <c r="B25" s="1" t="s">
        <v>72</v>
      </c>
      <c r="C25" s="1" t="s">
        <v>73</v>
      </c>
      <c r="D25" s="1" t="s">
        <v>74</v>
      </c>
      <c r="E25" s="1" t="s">
        <v>45</v>
      </c>
      <c r="F25" s="1" t="s">
        <v>7</v>
      </c>
      <c r="G25" s="1"/>
      <c r="H25" s="1"/>
    </row>
    <row r="26" spans="1:8" ht="19.95" customHeight="1" x14ac:dyDescent="0.3">
      <c r="A26" s="4" t="s">
        <v>75</v>
      </c>
      <c r="B26" s="5"/>
      <c r="C26" s="5"/>
      <c r="D26" s="5"/>
      <c r="E26" s="5"/>
      <c r="F26" s="5"/>
      <c r="G26" s="5"/>
      <c r="H26" s="5"/>
    </row>
    <row r="27" spans="1:8" ht="78" customHeight="1" x14ac:dyDescent="0.3">
      <c r="A27" s="1" t="s">
        <v>76</v>
      </c>
      <c r="B27" s="1" t="s">
        <v>77</v>
      </c>
      <c r="C27" s="1" t="s">
        <v>78</v>
      </c>
      <c r="D27" s="1" t="s">
        <v>79</v>
      </c>
      <c r="E27" s="1" t="s">
        <v>66</v>
      </c>
      <c r="F27" s="1" t="s">
        <v>7</v>
      </c>
      <c r="G27" s="1"/>
      <c r="H27" s="1"/>
    </row>
    <row r="28" spans="1:8" ht="78" customHeight="1" x14ac:dyDescent="0.3">
      <c r="A28" s="1" t="s">
        <v>80</v>
      </c>
      <c r="B28" s="1" t="s">
        <v>81</v>
      </c>
      <c r="C28" s="1" t="s">
        <v>82</v>
      </c>
      <c r="D28" s="1" t="s">
        <v>83</v>
      </c>
      <c r="E28" s="1" t="s">
        <v>76</v>
      </c>
      <c r="F28" s="1" t="s">
        <v>7</v>
      </c>
      <c r="G28" s="1"/>
      <c r="H28" s="1"/>
    </row>
    <row r="29" spans="1:8" ht="78" customHeight="1" x14ac:dyDescent="0.3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76</v>
      </c>
      <c r="F29" s="1" t="s">
        <v>7</v>
      </c>
      <c r="G29" s="1"/>
      <c r="H29" s="1"/>
    </row>
  </sheetData>
  <mergeCells count="12">
    <mergeCell ref="A1:B1"/>
    <mergeCell ref="C3:H3"/>
    <mergeCell ref="A23:H23"/>
    <mergeCell ref="A3:B3"/>
    <mergeCell ref="A12:H12"/>
    <mergeCell ref="A8:H8"/>
    <mergeCell ref="A26:H26"/>
    <mergeCell ref="C2:H2"/>
    <mergeCell ref="A2:B2"/>
    <mergeCell ref="A16:H16"/>
    <mergeCell ref="E4:H4"/>
    <mergeCell ref="A19:H19"/>
  </mergeCells>
  <dataValidations count="1">
    <dataValidation type="list" allowBlank="1" sqref="F8:F29" xr:uid="{00000000-0002-0000-0000-000000000000}">
      <formula1>"Pass,Fail,Untested,N/A"</formula1>
    </dataValidation>
  </dataValidation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2026-01-17T17:06:54Z</dcterms:created>
  <dcterms:modified xsi:type="dcterms:W3CDTF">2026-01-18T03:48:19Z</dcterms:modified>
</cp:coreProperties>
</file>