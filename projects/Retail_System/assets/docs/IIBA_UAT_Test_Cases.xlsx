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uments\BA Project\foodora-ba-portfolio\projects\Retail_System\assets\docs\"/>
    </mc:Choice>
  </mc:AlternateContent>
  <xr:revisionPtr revIDLastSave="0" documentId="13_ncr:1_{DAE344AE-53E7-43A2-A3A0-F7F826E300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AT Test 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C5" i="1"/>
  <c r="B5" i="1"/>
  <c r="A5" i="1"/>
</calcChain>
</file>

<file path=xl/sharedStrings.xml><?xml version="1.0" encoding="utf-8"?>
<sst xmlns="http://schemas.openxmlformats.org/spreadsheetml/2006/main" count="113" uniqueCount="94">
  <si>
    <t>Module Code</t>
  </si>
  <si>
    <t>RETAIL_SYSTEM</t>
  </si>
  <si>
    <t>Test requirement</t>
  </si>
  <si>
    <t>UAT for ** Retail Operations Backoffice (Hệ thống quản lý bán hàng) — Multi-branch (nhiều chi nhánh)</t>
  </si>
  <si>
    <t>Tester</t>
  </si>
  <si>
    <t>Pass</t>
  </si>
  <si>
    <t>Fail</t>
  </si>
  <si>
    <t>Untested</t>
  </si>
  <si>
    <t>N/A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</si>
  <si>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</si>
  <si>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</si>
  <si>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</si>
  <si>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</si>
  <si>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</si>
  <si>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</si>
  <si>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</si>
  <si>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</si>
  <si>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Note</t>
  </si>
  <si>
    <t>Function — SALES</t>
  </si>
  <si>
    <t>[TC-SALES-001]</t>
  </si>
  <si>
    <t>Create sales invoice with branch attribution</t>
  </si>
  <si>
    <t>1. Create a new sale invoice at B1.
2. Add P1 quantity 1.
3. Complete payment.</t>
  </si>
  <si>
    <t>- Invoice is created with Branch=B1, user=U-CA, timestamp.
- Stock at B1 decreases by 1.
- Audit/event log exists for invoice creation.</t>
  </si>
  <si>
    <t>[TC-SALES-002]</t>
  </si>
  <si>
    <t>Return/cancel requires reason and permission</t>
  </si>
  <si>
    <t>1. Attempt return/cancel as U-CA.
2. If blocked, request approval by U-BM.
3. Enter reason code and confirm.</t>
  </si>
  <si>
    <t>- System enforces configured permission/approval.
- Reason code is mandatory.
- Stock and cashbook reflect the return per policy.
### 4.2 Promotions</t>
  </si>
  <si>
    <t>Function — PROMO</t>
  </si>
  <si>
    <t>[TC-PROMO-001]</t>
  </si>
  <si>
    <t>Promotion eligibility applies at POS</t>
  </si>
  <si>
    <t>1. Create invoice and add P2.
2. Observe discount applied.</t>
  </si>
  <si>
    <t>- Promotion applies only if eligible.
- Invoice records applied promotion ID and discount amount.</t>
  </si>
  <si>
    <t>[TC-PROMO-002]</t>
  </si>
  <si>
    <t>Promotion conflict resolution is deterministic</t>
  </si>
  <si>
    <t>1. Create invoice with P2.
2. Validate which promotion is selected.</t>
  </si>
  <si>
    <t>- Selection follows policy and is explainable (priority + tie-break).
### 4.3 Receiving and stocktake</t>
  </si>
  <si>
    <t>Function — INV</t>
  </si>
  <si>
    <t>[TC-INV-REC-001]</t>
  </si>
  <si>
    <t>Receiving increases branch stock</t>
  </si>
  <si>
    <t>1. Create receiving record for P1 quantity +10.
2. Confirm/submit.</t>
  </si>
  <si>
    <t>- Stock at B1 increases by 10.
- Receiving record is auditable.</t>
  </si>
  <si>
    <t>Function — STK</t>
  </si>
  <si>
    <t>[TC-STK-001]</t>
  </si>
  <si>
    <t>Stocktake lifecycle</t>
  </si>
  <si>
    <t>1. Create stocktake session.
2. Enter counted quantities.
3. Submit.
4. Approve adjustment as U-BM.</t>
  </si>
  <si>
    <t>- Stocktake status transitions correctly.
- Adjustments require approval and reason codes.
### 4.4 Negative stock control</t>
  </si>
  <si>
    <t>[TC-INV-NEG-001]</t>
  </si>
  <si>
    <t>Negative stock policy enforced (sale)</t>
  </si>
  <si>
    <t>1. Attempt sale of P1 quantity 1.
2. Request U-BM override.
3. Provide override reason.</t>
  </si>
  <si>
    <t>- Transaction is blocked for U-CA.
- With BM override, transaction completes.
- Override is recorded with reason and audit log.
### 4.5 Transfers</t>
  </si>
  <si>
    <t>Function — TRF</t>
  </si>
  <si>
    <t>[TC-TRF-001]</t>
  </si>
  <si>
    <t>Create transfer order B1 → B2</t>
  </si>
  <si>
    <t>1. Create transfer order from B1 to B2 for P1 quantity 5.</t>
  </si>
  <si>
    <t>- Transfer order created with correct source/destination.</t>
  </si>
  <si>
    <t>[TC-TRF-002]</t>
  </si>
  <si>
    <t>Dispatch transfer decreases source stock</t>
  </si>
  <si>
    <t>1. Dispatch transfer at B1.</t>
  </si>
  <si>
    <t>- Stock at B1 decreases.
- Dispatch is audited.</t>
  </si>
  <si>
    <t>[TC-TRF-003]</t>
  </si>
  <si>
    <t>Receive transfer increases destination stock</t>
  </si>
  <si>
    <t>1. Receive transfer at B2.</t>
  </si>
  <si>
    <t>- Stock at B2 increases.
- Transfer status becomes closed/received.</t>
  </si>
  <si>
    <t>[TC-TRF-004]</t>
  </si>
  <si>
    <t>Discrepancy handling requires reason and approval</t>
  </si>
  <si>
    <t>1. Receive at B2 with quantity != dispatched.
2. Enter discrepancy reason.
3. Approve as U-BM (or per policy).</t>
  </si>
  <si>
    <t>- Discrepancy record is created.
- Approval is captured.</t>
  </si>
  <si>
    <t>[TC-TRF-005]</t>
  </si>
  <si>
    <t>Discrepancy within tolerance does not require approval</t>
  </si>
  <si>
    <t>1. Receive at B2 with received qty = 99 (discrepancy = 1).
2. Submit receipt.</t>
  </si>
  <si>
    <t>- System treats discrepancy as within tolerance (max(2 units, 0.5% rounded up) = 2).
- Transfer can be closed without BM approval.
- Discrepancy record is still captured for audit.
### 4.6 Write-off</t>
  </si>
  <si>
    <t>Function — WO</t>
  </si>
  <si>
    <t>[TC-WO-001]</t>
  </si>
  <si>
    <t>Write-off requires reason code</t>
  </si>
  <si>
    <t>1. Create write-off for P1 quantity 1.
2. Try to submit without reason.
3. Provide reason and submit.</t>
  </si>
  <si>
    <t>- Reason is mandatory.
- Record is auditable.</t>
  </si>
  <si>
    <t>[TC-WO-002]</t>
  </si>
  <si>
    <t>Write-off approval enforced</t>
  </si>
  <si>
    <t>1. Attempt to approve as U-INV.
2. Approve as U-BM.</t>
  </si>
  <si>
    <t>- Only permitted role can approve.
- Approval is audited.</t>
  </si>
  <si>
    <t>[TC-WO-003]</t>
  </si>
  <si>
    <t>High-risk write-off requires evidence (threshold)</t>
  </si>
  <si>
    <t>1. Create write-off for P1 quantity 5.
2. Try to submit without attachment/evidence reference.
3. Provide attachment/evidence reference and submit.</t>
  </si>
  <si>
    <t>- Submission is blocked without evidence.
- With evidence, submission proceeds and is audited.
### 4.7 Cashbook and reporting</t>
  </si>
  <si>
    <t>Function — CASH</t>
  </si>
  <si>
    <t>[TC-CASH-001]</t>
  </si>
  <si>
    <t>End-of-day reconciliation status</t>
  </si>
  <si>
    <t>1. Perform end-of-day close.
2. Enter counted cash != expected.</t>
  </si>
  <si>
    <t>- Status becomes Short/Over.
- Manager note required.</t>
  </si>
  <si>
    <t>Function — REP</t>
  </si>
  <si>
    <t>[TC-REP-001]</t>
  </si>
  <si>
    <t>Reporting by branch/date</t>
  </si>
  <si>
    <t>1. Run summary report by date range.
2. Filter by branch.</t>
  </si>
  <si>
    <t>- Totals are correct and scoped per branch.
---
## 5) Traceability
Refer to the Requirements Traceability Matrix (RTM) to ensure each High priority FR is covered.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</si>
</sst>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F0FA"/>
      </patternFill>
    </fill>
    <fill>
      <patternFill patternType="solid">
        <fgColor rgb="FF1F4E79"/>
      </patternFill>
    </fill>
    <fill>
      <patternFill patternType="solid">
        <fgColor rgb="FFD9F2F2"/>
      </patternFill>
    </fill>
  </fills>
  <borders count="4">
    <border>
      <left/>
      <right/>
      <top/>
      <bottom/>
      <diagonal/>
    </border>
    <border>
      <left style="thin">
        <color rgb="FF0B0F1A"/>
      </left>
      <right style="thin">
        <color rgb="FF0B0F1A"/>
      </right>
      <top style="thin">
        <color rgb="FF0B0F1A"/>
      </top>
      <bottom style="thin">
        <color rgb="FF0B0F1A"/>
      </bottom>
      <diagonal/>
    </border>
    <border>
      <left/>
      <right/>
      <top style="thin">
        <color rgb="FF0B0F1A"/>
      </top>
      <bottom style="thin">
        <color rgb="FF0B0F1A"/>
      </bottom>
      <diagonal/>
    </border>
    <border>
      <left/>
      <right style="thin">
        <color rgb="FF0B0F1A"/>
      </right>
      <top style="thin">
        <color rgb="FF0B0F1A"/>
      </top>
      <bottom style="thin">
        <color rgb="FF0B0F1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pane ySplit="7" topLeftCell="A33" activePane="bottomLeft" state="frozen"/>
      <selection pane="bottomLeft"/>
    </sheetView>
  </sheetViews>
  <sheetFormatPr defaultRowHeight="14.4" x14ac:dyDescent="0.3"/>
  <cols>
    <col min="1" max="1" width="14" customWidth="1"/>
    <col min="2" max="2" width="30" customWidth="1"/>
    <col min="3" max="3" width="40" customWidth="1"/>
    <col min="4" max="4" width="36" customWidth="1"/>
    <col min="5" max="5" width="26" customWidth="1"/>
    <col min="6" max="6" width="12" customWidth="1"/>
    <col min="7" max="7" width="14" customWidth="1"/>
    <col min="8" max="8" width="22" customWidth="1"/>
    <col min="9" max="9" width="18" customWidth="1"/>
  </cols>
  <sheetData>
    <row r="1" spans="1:9" ht="19.95" customHeight="1" x14ac:dyDescent="0.3">
      <c r="A1" s="1" t="s">
        <v>0</v>
      </c>
      <c r="B1" s="9" t="s">
        <v>1</v>
      </c>
      <c r="C1" s="8"/>
      <c r="D1" s="8"/>
      <c r="E1" s="8"/>
      <c r="F1" s="8"/>
      <c r="G1" s="8"/>
      <c r="H1" s="8"/>
      <c r="I1" s="8"/>
    </row>
    <row r="2" spans="1:9" ht="19.95" customHeight="1" x14ac:dyDescent="0.3">
      <c r="A2" s="1" t="s">
        <v>2</v>
      </c>
      <c r="B2" s="9" t="s">
        <v>3</v>
      </c>
      <c r="C2" s="8"/>
      <c r="D2" s="8"/>
      <c r="E2" s="8"/>
      <c r="F2" s="8"/>
      <c r="G2" s="8"/>
      <c r="H2" s="8"/>
      <c r="I2" s="8"/>
    </row>
    <row r="3" spans="1:9" ht="19.95" customHeight="1" x14ac:dyDescent="0.3">
      <c r="A3" s="1" t="s">
        <v>4</v>
      </c>
      <c r="B3" s="9"/>
      <c r="C3" s="8"/>
      <c r="D3" s="8"/>
      <c r="E3" s="8"/>
      <c r="F3" s="8"/>
      <c r="G3" s="8"/>
      <c r="H3" s="8"/>
      <c r="I3" s="8"/>
    </row>
    <row r="4" spans="1:9" ht="18" customHeight="1" x14ac:dyDescent="0.3">
      <c r="A4" s="3" t="s">
        <v>5</v>
      </c>
      <c r="B4" s="3" t="s">
        <v>6</v>
      </c>
      <c r="C4" s="3" t="s">
        <v>7</v>
      </c>
      <c r="D4" s="3" t="s">
        <v>8</v>
      </c>
      <c r="E4" s="2"/>
      <c r="F4" s="10" t="s">
        <v>9</v>
      </c>
      <c r="G4" s="8"/>
      <c r="H4" s="8"/>
      <c r="I4" s="8"/>
    </row>
    <row r="5" spans="1:9" ht="18" customHeight="1" x14ac:dyDescent="0.3">
      <c r="A5" s="4">
        <f>COUNTIF(F8:F33,"Pass")</f>
        <v>0</v>
      </c>
      <c r="B5" s="4">
        <f>COUNTIF(F8:F33,"Fail")</f>
        <v>0</v>
      </c>
      <c r="C5" s="4">
        <f>COUNTIF(F8:F33,"Untested")</f>
        <v>17</v>
      </c>
      <c r="D5" s="4">
        <f>COUNTIF(F8:F33,"N/A")</f>
        <v>0</v>
      </c>
      <c r="E5" s="2"/>
      <c r="F5" s="11">
        <v>26</v>
      </c>
      <c r="G5" s="12"/>
      <c r="H5" s="12"/>
      <c r="I5" s="13"/>
    </row>
    <row r="7" spans="1:9" x14ac:dyDescent="0.3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</row>
    <row r="8" spans="1:9" x14ac:dyDescent="0.3">
      <c r="A8" s="7" t="s">
        <v>18</v>
      </c>
      <c r="B8" s="8"/>
      <c r="C8" s="8"/>
      <c r="D8" s="8"/>
      <c r="E8" s="8"/>
      <c r="F8" s="8"/>
      <c r="G8" s="8"/>
      <c r="H8" s="8"/>
    </row>
    <row r="9" spans="1:9" ht="70.05" customHeight="1" x14ac:dyDescent="0.3">
      <c r="A9" s="6" t="s">
        <v>19</v>
      </c>
      <c r="B9" s="6" t="s">
        <v>20</v>
      </c>
      <c r="C9" s="6" t="s">
        <v>21</v>
      </c>
      <c r="D9" s="6" t="s">
        <v>22</v>
      </c>
      <c r="E9" s="6"/>
      <c r="F9" s="6" t="s">
        <v>7</v>
      </c>
      <c r="G9" s="6"/>
      <c r="H9" s="6"/>
    </row>
    <row r="10" spans="1:9" ht="70.05" customHeight="1" x14ac:dyDescent="0.3">
      <c r="A10" s="6" t="s">
        <v>23</v>
      </c>
      <c r="B10" s="6" t="s">
        <v>24</v>
      </c>
      <c r="C10" s="6" t="s">
        <v>25</v>
      </c>
      <c r="D10" s="6" t="s">
        <v>26</v>
      </c>
      <c r="E10" s="6" t="s">
        <v>19</v>
      </c>
      <c r="F10" s="6" t="s">
        <v>7</v>
      </c>
      <c r="G10" s="6"/>
      <c r="H10" s="6"/>
    </row>
    <row r="11" spans="1:9" x14ac:dyDescent="0.3">
      <c r="A11" s="7" t="s">
        <v>27</v>
      </c>
      <c r="B11" s="8"/>
      <c r="C11" s="8"/>
      <c r="D11" s="8"/>
      <c r="E11" s="8"/>
      <c r="F11" s="8"/>
      <c r="G11" s="8"/>
      <c r="H11" s="8"/>
    </row>
    <row r="12" spans="1:9" ht="70.05" customHeight="1" x14ac:dyDescent="0.3">
      <c r="A12" s="6" t="s">
        <v>28</v>
      </c>
      <c r="B12" s="6" t="s">
        <v>29</v>
      </c>
      <c r="C12" s="6" t="s">
        <v>30</v>
      </c>
      <c r="D12" s="6" t="s">
        <v>31</v>
      </c>
      <c r="E12" s="6"/>
      <c r="F12" s="6" t="s">
        <v>7</v>
      </c>
      <c r="G12" s="6"/>
      <c r="H12" s="6"/>
    </row>
    <row r="13" spans="1:9" ht="70.05" customHeight="1" x14ac:dyDescent="0.3">
      <c r="A13" s="6" t="s">
        <v>32</v>
      </c>
      <c r="B13" s="6" t="s">
        <v>33</v>
      </c>
      <c r="C13" s="6" t="s">
        <v>34</v>
      </c>
      <c r="D13" s="6" t="s">
        <v>35</v>
      </c>
      <c r="E13" s="6"/>
      <c r="F13" s="6" t="s">
        <v>7</v>
      </c>
      <c r="G13" s="6"/>
      <c r="H13" s="6"/>
    </row>
    <row r="14" spans="1:9" x14ac:dyDescent="0.3">
      <c r="A14" s="7" t="s">
        <v>36</v>
      </c>
      <c r="B14" s="8"/>
      <c r="C14" s="8"/>
      <c r="D14" s="8"/>
      <c r="E14" s="8"/>
      <c r="F14" s="8"/>
      <c r="G14" s="8"/>
      <c r="H14" s="8"/>
    </row>
    <row r="15" spans="1:9" ht="70.05" customHeight="1" x14ac:dyDescent="0.3">
      <c r="A15" s="6" t="s">
        <v>37</v>
      </c>
      <c r="B15" s="6" t="s">
        <v>38</v>
      </c>
      <c r="C15" s="6" t="s">
        <v>39</v>
      </c>
      <c r="D15" s="6" t="s">
        <v>40</v>
      </c>
      <c r="E15" s="6"/>
      <c r="F15" s="6" t="s">
        <v>7</v>
      </c>
      <c r="G15" s="6"/>
      <c r="H15" s="6"/>
    </row>
    <row r="16" spans="1:9" x14ac:dyDescent="0.3">
      <c r="A16" s="7" t="s">
        <v>41</v>
      </c>
      <c r="B16" s="8"/>
      <c r="C16" s="8"/>
      <c r="D16" s="8"/>
      <c r="E16" s="8"/>
      <c r="F16" s="8"/>
      <c r="G16" s="8"/>
      <c r="H16" s="8"/>
    </row>
    <row r="17" spans="1:8" ht="70.05" customHeight="1" x14ac:dyDescent="0.3">
      <c r="A17" s="6" t="s">
        <v>42</v>
      </c>
      <c r="B17" s="6" t="s">
        <v>43</v>
      </c>
      <c r="C17" s="6" t="s">
        <v>44</v>
      </c>
      <c r="D17" s="6" t="s">
        <v>45</v>
      </c>
      <c r="E17" s="6"/>
      <c r="F17" s="6" t="s">
        <v>7</v>
      </c>
      <c r="G17" s="6"/>
      <c r="H17" s="6"/>
    </row>
    <row r="18" spans="1:8" x14ac:dyDescent="0.3">
      <c r="A18" s="7" t="s">
        <v>36</v>
      </c>
      <c r="B18" s="8"/>
      <c r="C18" s="8"/>
      <c r="D18" s="8"/>
      <c r="E18" s="8"/>
      <c r="F18" s="8"/>
      <c r="G18" s="8"/>
      <c r="H18" s="8"/>
    </row>
    <row r="19" spans="1:8" ht="70.05" customHeight="1" x14ac:dyDescent="0.3">
      <c r="A19" s="6" t="s">
        <v>46</v>
      </c>
      <c r="B19" s="6" t="s">
        <v>47</v>
      </c>
      <c r="C19" s="6" t="s">
        <v>48</v>
      </c>
      <c r="D19" s="6" t="s">
        <v>49</v>
      </c>
      <c r="E19" s="6"/>
      <c r="F19" s="6" t="s">
        <v>7</v>
      </c>
      <c r="G19" s="6"/>
      <c r="H19" s="6"/>
    </row>
    <row r="20" spans="1:8" x14ac:dyDescent="0.3">
      <c r="A20" s="7" t="s">
        <v>50</v>
      </c>
      <c r="B20" s="8"/>
      <c r="C20" s="8"/>
      <c r="D20" s="8"/>
      <c r="E20" s="8"/>
      <c r="F20" s="8"/>
      <c r="G20" s="8"/>
      <c r="H20" s="8"/>
    </row>
    <row r="21" spans="1:8" ht="70.05" customHeight="1" x14ac:dyDescent="0.3">
      <c r="A21" s="6" t="s">
        <v>51</v>
      </c>
      <c r="B21" s="6" t="s">
        <v>52</v>
      </c>
      <c r="C21" s="6" t="s">
        <v>53</v>
      </c>
      <c r="D21" s="6" t="s">
        <v>54</v>
      </c>
      <c r="E21" s="6"/>
      <c r="F21" s="6" t="s">
        <v>7</v>
      </c>
      <c r="G21" s="6"/>
      <c r="H21" s="6"/>
    </row>
    <row r="22" spans="1:8" ht="70.05" customHeight="1" x14ac:dyDescent="0.3">
      <c r="A22" s="6" t="s">
        <v>55</v>
      </c>
      <c r="B22" s="6" t="s">
        <v>56</v>
      </c>
      <c r="C22" s="6" t="s">
        <v>57</v>
      </c>
      <c r="D22" s="6" t="s">
        <v>58</v>
      </c>
      <c r="E22" s="6"/>
      <c r="F22" s="6" t="s">
        <v>7</v>
      </c>
      <c r="G22" s="6"/>
      <c r="H22" s="6"/>
    </row>
    <row r="23" spans="1:8" ht="70.05" customHeight="1" x14ac:dyDescent="0.3">
      <c r="A23" s="6" t="s">
        <v>59</v>
      </c>
      <c r="B23" s="6" t="s">
        <v>60</v>
      </c>
      <c r="C23" s="6" t="s">
        <v>61</v>
      </c>
      <c r="D23" s="6" t="s">
        <v>62</v>
      </c>
      <c r="E23" s="6"/>
      <c r="F23" s="6" t="s">
        <v>7</v>
      </c>
      <c r="G23" s="6"/>
      <c r="H23" s="6"/>
    </row>
    <row r="24" spans="1:8" ht="70.05" customHeight="1" x14ac:dyDescent="0.3">
      <c r="A24" s="6" t="s">
        <v>63</v>
      </c>
      <c r="B24" s="6" t="s">
        <v>64</v>
      </c>
      <c r="C24" s="6" t="s">
        <v>65</v>
      </c>
      <c r="D24" s="6" t="s">
        <v>66</v>
      </c>
      <c r="E24" s="6"/>
      <c r="F24" s="6" t="s">
        <v>7</v>
      </c>
      <c r="G24" s="6"/>
      <c r="H24" s="6"/>
    </row>
    <row r="25" spans="1:8" ht="70.05" customHeight="1" x14ac:dyDescent="0.3">
      <c r="A25" s="6" t="s">
        <v>67</v>
      </c>
      <c r="B25" s="6" t="s">
        <v>68</v>
      </c>
      <c r="C25" s="6" t="s">
        <v>69</v>
      </c>
      <c r="D25" s="6" t="s">
        <v>70</v>
      </c>
      <c r="E25" s="6"/>
      <c r="F25" s="6" t="s">
        <v>7</v>
      </c>
      <c r="G25" s="6"/>
      <c r="H25" s="6"/>
    </row>
    <row r="26" spans="1:8" x14ac:dyDescent="0.3">
      <c r="A26" s="7" t="s">
        <v>71</v>
      </c>
      <c r="B26" s="8"/>
      <c r="C26" s="8"/>
      <c r="D26" s="8"/>
      <c r="E26" s="8"/>
      <c r="F26" s="8"/>
      <c r="G26" s="8"/>
      <c r="H26" s="8"/>
    </row>
    <row r="27" spans="1:8" ht="70.05" customHeight="1" x14ac:dyDescent="0.3">
      <c r="A27" s="6" t="s">
        <v>72</v>
      </c>
      <c r="B27" s="6" t="s">
        <v>73</v>
      </c>
      <c r="C27" s="6" t="s">
        <v>74</v>
      </c>
      <c r="D27" s="6" t="s">
        <v>75</v>
      </c>
      <c r="E27" s="6"/>
      <c r="F27" s="6" t="s">
        <v>7</v>
      </c>
      <c r="G27" s="6"/>
      <c r="H27" s="6"/>
    </row>
    <row r="28" spans="1:8" ht="70.05" customHeight="1" x14ac:dyDescent="0.3">
      <c r="A28" s="6" t="s">
        <v>76</v>
      </c>
      <c r="B28" s="6" t="s">
        <v>77</v>
      </c>
      <c r="C28" s="6" t="s">
        <v>78</v>
      </c>
      <c r="D28" s="6" t="s">
        <v>79</v>
      </c>
      <c r="E28" s="6"/>
      <c r="F28" s="6" t="s">
        <v>7</v>
      </c>
      <c r="G28" s="6"/>
      <c r="H28" s="6"/>
    </row>
    <row r="29" spans="1:8" ht="70.05" customHeight="1" x14ac:dyDescent="0.3">
      <c r="A29" s="6" t="s">
        <v>80</v>
      </c>
      <c r="B29" s="6" t="s">
        <v>81</v>
      </c>
      <c r="C29" s="6" t="s">
        <v>82</v>
      </c>
      <c r="D29" s="6" t="s">
        <v>83</v>
      </c>
      <c r="E29" s="6"/>
      <c r="F29" s="6" t="s">
        <v>7</v>
      </c>
      <c r="G29" s="6"/>
      <c r="H29" s="6"/>
    </row>
    <row r="30" spans="1:8" x14ac:dyDescent="0.3">
      <c r="A30" s="7" t="s">
        <v>84</v>
      </c>
      <c r="B30" s="8"/>
      <c r="C30" s="8"/>
      <c r="D30" s="8"/>
      <c r="E30" s="8"/>
      <c r="F30" s="8"/>
      <c r="G30" s="8"/>
      <c r="H30" s="8"/>
    </row>
    <row r="31" spans="1:8" ht="70.05" customHeight="1" x14ac:dyDescent="0.3">
      <c r="A31" s="6" t="s">
        <v>85</v>
      </c>
      <c r="B31" s="6" t="s">
        <v>86</v>
      </c>
      <c r="C31" s="6" t="s">
        <v>87</v>
      </c>
      <c r="D31" s="6" t="s">
        <v>88</v>
      </c>
      <c r="E31" s="6"/>
      <c r="F31" s="6" t="s">
        <v>7</v>
      </c>
      <c r="G31" s="6"/>
      <c r="H31" s="6"/>
    </row>
    <row r="32" spans="1:8" x14ac:dyDescent="0.3">
      <c r="A32" s="7" t="s">
        <v>89</v>
      </c>
      <c r="B32" s="8"/>
      <c r="C32" s="8"/>
      <c r="D32" s="8"/>
      <c r="E32" s="8"/>
      <c r="F32" s="8"/>
      <c r="G32" s="8"/>
      <c r="H32" s="8"/>
    </row>
    <row r="33" spans="1:8" ht="70.05" customHeight="1" x14ac:dyDescent="0.3">
      <c r="A33" s="6" t="s">
        <v>90</v>
      </c>
      <c r="B33" s="6" t="s">
        <v>91</v>
      </c>
      <c r="C33" s="6" t="s">
        <v>92</v>
      </c>
      <c r="D33" s="6" t="s">
        <v>93</v>
      </c>
      <c r="E33" s="6"/>
      <c r="F33" s="6" t="s">
        <v>7</v>
      </c>
      <c r="G33" s="6"/>
      <c r="H33" s="6"/>
    </row>
  </sheetData>
  <mergeCells count="14">
    <mergeCell ref="A32:H32"/>
    <mergeCell ref="B1:I1"/>
    <mergeCell ref="A8:H8"/>
    <mergeCell ref="A18:H18"/>
    <mergeCell ref="A26:H26"/>
    <mergeCell ref="A30:H30"/>
    <mergeCell ref="A20:H20"/>
    <mergeCell ref="B2:I2"/>
    <mergeCell ref="F4:I4"/>
    <mergeCell ref="A16:H16"/>
    <mergeCell ref="B3:I3"/>
    <mergeCell ref="A11:H11"/>
    <mergeCell ref="A14:H14"/>
    <mergeCell ref="F5:I5"/>
  </mergeCells>
  <dataValidations count="1">
    <dataValidation type="list" allowBlank="1" sqref="F9 F10 F12 F13 F15 F17 F19 F21 F22 F23 F24 F25 F27 F28 F29 F31 F33" xr:uid="{00000000-0002-0000-0000-000000000000}">
      <formula1>"Pass,Fail,Untested,N/A"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Nhật Hải</cp:lastModifiedBy>
  <dcterms:created xsi:type="dcterms:W3CDTF">2026-01-20T03:01:40Z</dcterms:created>
  <dcterms:modified xsi:type="dcterms:W3CDTF">2026-01-20T03:03:53Z</dcterms:modified>
</cp:coreProperties>
</file>